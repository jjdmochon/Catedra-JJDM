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0515" windowHeight="4695"/>
  </bookViews>
  <sheets>
    <sheet name="Hoja1" sheetId="1" r:id="rId1"/>
    <sheet name="Hoja2" sheetId="2" r:id="rId2"/>
    <sheet name="Hoja3" sheetId="3" r:id="rId3"/>
  </sheets>
  <definedNames>
    <definedName name="_ftn1" localSheetId="0">Hoja1!$A$27</definedName>
    <definedName name="_ftn2" localSheetId="0">Hoja1!$A$28</definedName>
    <definedName name="_ftnref1" localSheetId="0">Hoja1!$B$5</definedName>
    <definedName name="_ftnref2" localSheetId="0">Hoja1!$A$24</definedName>
  </definedNames>
  <calcPr calcId="145621"/>
</workbook>
</file>

<file path=xl/calcChain.xml><?xml version="1.0" encoding="utf-8"?>
<calcChain xmlns="http://schemas.openxmlformats.org/spreadsheetml/2006/main">
  <c r="C7" i="1" l="1"/>
  <c r="J22" i="1"/>
  <c r="I22" i="1"/>
  <c r="I21" i="1"/>
  <c r="G15" i="1" l="1"/>
  <c r="G18" i="1" s="1"/>
  <c r="F15" i="1"/>
  <c r="E15" i="1"/>
  <c r="D15" i="1"/>
  <c r="C15" i="1"/>
  <c r="E7" i="1"/>
  <c r="D7" i="1"/>
  <c r="G13" i="1" l="1"/>
  <c r="G22" i="1"/>
  <c r="G17" i="1"/>
  <c r="G16" i="1"/>
  <c r="G14" i="1"/>
  <c r="G9" i="1"/>
  <c r="G8" i="1"/>
  <c r="G5" i="1"/>
  <c r="C18" i="1"/>
  <c r="F10" i="1"/>
  <c r="E10" i="1"/>
  <c r="D10" i="1"/>
  <c r="C10" i="1"/>
  <c r="F18" i="1"/>
  <c r="F20" i="1" s="1"/>
  <c r="F21" i="1" s="1"/>
  <c r="E18" i="1"/>
  <c r="E20" i="1" s="1"/>
  <c r="E21" i="1" s="1"/>
  <c r="D18" i="1"/>
  <c r="D20" i="1" s="1"/>
  <c r="D21" i="1" s="1"/>
  <c r="C20" i="1" l="1"/>
  <c r="C21" i="1" s="1"/>
  <c r="F7" i="1"/>
  <c r="E8" i="1"/>
  <c r="G7" i="1"/>
  <c r="G10" i="1" s="1"/>
  <c r="G20" i="1" s="1"/>
  <c r="G21" i="1" l="1"/>
  <c r="G23" i="1" s="1"/>
  <c r="G24" i="1" s="1"/>
</calcChain>
</file>

<file path=xl/sharedStrings.xml><?xml version="1.0" encoding="utf-8"?>
<sst xmlns="http://schemas.openxmlformats.org/spreadsheetml/2006/main" count="49" uniqueCount="48">
  <si>
    <t>Cost Category</t>
  </si>
  <si>
    <t>Month 1-18</t>
  </si>
  <si>
    <t>Month 19-36</t>
  </si>
  <si>
    <t>Month 37-54</t>
  </si>
  <si>
    <t>Month 55-60</t>
  </si>
  <si>
    <t>Total</t>
  </si>
  <si>
    <t>(M1-60)</t>
  </si>
  <si>
    <t>Direct Costs:</t>
  </si>
  <si>
    <t>Personnel:</t>
  </si>
  <si>
    <t>PI[1]</t>
  </si>
  <si>
    <t>Senior Staff</t>
  </si>
  <si>
    <t>Post docs</t>
  </si>
  <si>
    <t>Students</t>
  </si>
  <si>
    <t xml:space="preserve">Other </t>
  </si>
  <si>
    <t>Total Personnel:</t>
  </si>
  <si>
    <t>Other Direct Costs:</t>
  </si>
  <si>
    <t>Equipment</t>
  </si>
  <si>
    <t>Consumables</t>
  </si>
  <si>
    <t>Travel</t>
  </si>
  <si>
    <t>Publications, etc</t>
  </si>
  <si>
    <t>Other</t>
  </si>
  <si>
    <t xml:space="preserve">Total Other Direct Costs: </t>
  </si>
  <si>
    <t>Total Direct Costs:</t>
  </si>
  <si>
    <t>Indirect Costs (overheads):</t>
  </si>
  <si>
    <t>Max 20% of Direct Costs</t>
  </si>
  <si>
    <t>Subcontracting Costs:</t>
  </si>
  <si>
    <t>(No overheads)</t>
  </si>
  <si>
    <t>Total Costs of project:</t>
  </si>
  <si>
    <t>(by reporting period and total)</t>
  </si>
  <si>
    <t>Requested Grant[2]:</t>
  </si>
  <si>
    <t>*1300 brutos al mes</t>
  </si>
  <si>
    <t>*2000 brutos</t>
  </si>
  <si>
    <t>2 postdocs</t>
  </si>
  <si>
    <t>*a technician starting after the first year</t>
  </si>
  <si>
    <t>2k per month</t>
  </si>
  <si>
    <t>Patents</t>
  </si>
  <si>
    <t>european</t>
  </si>
  <si>
    <t>non-european</t>
  </si>
  <si>
    <t>collaboration trips</t>
  </si>
  <si>
    <t>Microwave Syro Wave</t>
  </si>
  <si>
    <t>Scienon Inkjet Printer</t>
  </si>
  <si>
    <t>HPLC</t>
  </si>
  <si>
    <t>PhD Studentes</t>
  </si>
  <si>
    <t>2 students</t>
  </si>
  <si>
    <t>30K</t>
  </si>
  <si>
    <t>Open Access Papers and Covers</t>
  </si>
  <si>
    <t>90K</t>
  </si>
  <si>
    <t>40K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</si>
</sst>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[$€-2]\ * #,##0.00_-;\-[$€-2]\ * #,##0.00_-;_-[$€-2]\ * &quot;-&quot;??_-;_-@_-"/>
    <numFmt numFmtId="165" formatCode="_-[$€-2]\ * #,##0_-;\-[$€-2]\ * #,##0_-;_-[$€-2]\ 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Times New Roman"/>
      <family val="1"/>
    </font>
    <font>
      <sz val="11"/>
      <name val="Calibri"/>
      <family val="2"/>
      <scheme val="minor"/>
    </font>
    <font>
      <sz val="9"/>
      <name val="Verdana"/>
      <family val="2"/>
    </font>
    <font>
      <i/>
      <sz val="11"/>
      <name val="Times New Roman"/>
      <family val="1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4" fillId="0" borderId="0" xfId="1" applyAlignment="1">
      <alignment horizontal="justify" vertical="center"/>
    </xf>
    <xf numFmtId="9" fontId="0" fillId="0" borderId="0" xfId="0" applyNumberFormat="1"/>
    <xf numFmtId="0" fontId="5" fillId="0" borderId="0" xfId="0" applyFont="1"/>
    <xf numFmtId="164" fontId="2" fillId="0" borderId="3" xfId="0" applyNumberFormat="1" applyFont="1" applyBorder="1" applyAlignment="1">
      <alignment vertical="center"/>
    </xf>
    <xf numFmtId="164" fontId="2" fillId="0" borderId="4" xfId="0" applyNumberFormat="1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164" fontId="1" fillId="2" borderId="4" xfId="0" applyNumberFormat="1" applyFont="1" applyFill="1" applyBorder="1" applyAlignment="1">
      <alignment vertical="center"/>
    </xf>
    <xf numFmtId="164" fontId="0" fillId="0" borderId="0" xfId="0" applyNumberFormat="1"/>
    <xf numFmtId="164" fontId="2" fillId="0" borderId="1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vertical="center"/>
    </xf>
    <xf numFmtId="164" fontId="2" fillId="0" borderId="5" xfId="0" applyNumberFormat="1" applyFont="1" applyBorder="1" applyAlignment="1">
      <alignment horizontal="center" vertical="center"/>
    </xf>
    <xf numFmtId="164" fontId="4" fillId="0" borderId="4" xfId="1" applyNumberFormat="1" applyBorder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vertical="center" wrapText="1"/>
    </xf>
    <xf numFmtId="164" fontId="4" fillId="0" borderId="2" xfId="1" applyNumberFormat="1" applyBorder="1" applyAlignment="1">
      <alignment vertical="center" wrapText="1"/>
    </xf>
    <xf numFmtId="165" fontId="0" fillId="0" borderId="0" xfId="0" applyNumberFormat="1"/>
    <xf numFmtId="165" fontId="6" fillId="0" borderId="4" xfId="0" applyNumberFormat="1" applyFont="1" applyBorder="1" applyAlignment="1">
      <alignment vertical="center"/>
    </xf>
    <xf numFmtId="165" fontId="7" fillId="0" borderId="0" xfId="0" applyNumberFormat="1" applyFont="1"/>
    <xf numFmtId="165" fontId="8" fillId="0" borderId="0" xfId="0" applyNumberFormat="1" applyFont="1"/>
    <xf numFmtId="165" fontId="6" fillId="2" borderId="4" xfId="0" applyNumberFormat="1" applyFont="1" applyFill="1" applyBorder="1" applyAlignment="1">
      <alignment vertical="center"/>
    </xf>
    <xf numFmtId="165" fontId="9" fillId="0" borderId="4" xfId="0" applyNumberFormat="1" applyFont="1" applyBorder="1" applyAlignment="1">
      <alignment vertical="center"/>
    </xf>
    <xf numFmtId="165" fontId="10" fillId="0" borderId="4" xfId="0" applyNumberFormat="1" applyFont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topLeftCell="A4" workbookViewId="0">
      <selection activeCell="G24" sqref="G24"/>
    </sheetView>
  </sheetViews>
  <sheetFormatPr baseColWidth="10" defaultRowHeight="15" x14ac:dyDescent="0.25"/>
  <cols>
    <col min="2" max="2" width="26.140625" bestFit="1" customWidth="1"/>
    <col min="3" max="6" width="15" bestFit="1" customWidth="1"/>
    <col min="7" max="7" width="20.42578125" style="8" bestFit="1" customWidth="1"/>
    <col min="8" max="8" width="13" bestFit="1" customWidth="1"/>
    <col min="11" max="11" width="12" bestFit="1" customWidth="1"/>
  </cols>
  <sheetData>
    <row r="1" spans="1:13" x14ac:dyDescent="0.25">
      <c r="A1" s="9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4" t="s">
        <v>5</v>
      </c>
    </row>
    <row r="2" spans="1:13" ht="15.75" thickBot="1" x14ac:dyDescent="0.3">
      <c r="A2" s="10"/>
      <c r="B2" s="10"/>
      <c r="C2" s="10"/>
      <c r="D2" s="10"/>
      <c r="E2" s="10"/>
      <c r="F2" s="10"/>
      <c r="G2" s="5" t="s">
        <v>6</v>
      </c>
    </row>
    <row r="3" spans="1:13" ht="15.75" thickBot="1" x14ac:dyDescent="0.3">
      <c r="A3" s="11"/>
      <c r="B3" s="6"/>
      <c r="C3" s="6"/>
      <c r="D3" s="6"/>
      <c r="E3" s="6"/>
      <c r="F3" s="6"/>
      <c r="G3" s="6"/>
    </row>
    <row r="4" spans="1:13" ht="15.75" thickBot="1" x14ac:dyDescent="0.3">
      <c r="A4" s="12" t="s">
        <v>7</v>
      </c>
      <c r="B4" s="13" t="s">
        <v>8</v>
      </c>
      <c r="C4" s="7"/>
      <c r="D4" s="7"/>
      <c r="E4" s="7"/>
      <c r="F4" s="7"/>
      <c r="G4" s="7"/>
    </row>
    <row r="5" spans="1:13" ht="15.75" thickBot="1" x14ac:dyDescent="0.3">
      <c r="A5" s="14"/>
      <c r="B5" s="15" t="s">
        <v>9</v>
      </c>
      <c r="C5" s="20">
        <v>41300</v>
      </c>
      <c r="D5" s="20">
        <v>41300</v>
      </c>
      <c r="E5" s="20">
        <v>41300</v>
      </c>
      <c r="F5" s="20">
        <v>41300</v>
      </c>
      <c r="G5" s="20">
        <f>+SUM(C5:F5)</f>
        <v>165200</v>
      </c>
      <c r="H5" s="2">
        <v>0.6</v>
      </c>
    </row>
    <row r="6" spans="1:13" ht="15.75" thickBot="1" x14ac:dyDescent="0.3">
      <c r="A6" s="14"/>
      <c r="B6" s="6" t="s">
        <v>10</v>
      </c>
      <c r="C6" s="21"/>
      <c r="D6" s="21"/>
      <c r="E6" s="21"/>
      <c r="F6" s="21"/>
      <c r="G6" s="21"/>
    </row>
    <row r="7" spans="1:13" ht="15.75" thickBot="1" x14ac:dyDescent="0.3">
      <c r="A7" s="14"/>
      <c r="B7" s="6" t="s">
        <v>11</v>
      </c>
      <c r="C7" s="22">
        <f>48715*2</f>
        <v>97430</v>
      </c>
      <c r="D7" s="22">
        <f>48715*2</f>
        <v>97430</v>
      </c>
      <c r="E7" s="22">
        <f>48715*2</f>
        <v>97430</v>
      </c>
      <c r="F7" s="22">
        <f>48715</f>
        <v>48715</v>
      </c>
      <c r="G7" s="20">
        <f>+SUM(C7:F7)</f>
        <v>341005</v>
      </c>
      <c r="H7" t="s">
        <v>31</v>
      </c>
      <c r="I7" t="s">
        <v>32</v>
      </c>
    </row>
    <row r="8" spans="1:13" ht="15.75" thickBot="1" x14ac:dyDescent="0.3">
      <c r="A8" s="14"/>
      <c r="B8" s="6" t="s">
        <v>12</v>
      </c>
      <c r="C8" s="22">
        <v>31664</v>
      </c>
      <c r="D8" s="22">
        <v>31664</v>
      </c>
      <c r="E8" s="22">
        <f>31664*2</f>
        <v>63328</v>
      </c>
      <c r="F8" s="22">
        <v>31664</v>
      </c>
      <c r="G8" s="20">
        <f>+SUM(C8:F8)</f>
        <v>158320</v>
      </c>
      <c r="H8" t="s">
        <v>30</v>
      </c>
      <c r="I8" t="s">
        <v>42</v>
      </c>
      <c r="J8" t="s">
        <v>43</v>
      </c>
    </row>
    <row r="9" spans="1:13" ht="15.75" thickBot="1" x14ac:dyDescent="0.3">
      <c r="A9" s="14"/>
      <c r="B9" s="6" t="s">
        <v>13</v>
      </c>
      <c r="C9" s="22">
        <v>8119</v>
      </c>
      <c r="D9" s="22">
        <v>24357</v>
      </c>
      <c r="E9" s="22">
        <v>24357</v>
      </c>
      <c r="F9" s="22">
        <v>24357</v>
      </c>
      <c r="G9" s="20">
        <f>+SUM(C9:F9)</f>
        <v>81190</v>
      </c>
      <c r="H9" t="s">
        <v>33</v>
      </c>
    </row>
    <row r="10" spans="1:13" ht="15.75" thickBot="1" x14ac:dyDescent="0.3">
      <c r="A10" s="14"/>
      <c r="B10" s="6" t="s">
        <v>14</v>
      </c>
      <c r="C10" s="20">
        <f>+SUM(C5:C9)</f>
        <v>178513</v>
      </c>
      <c r="D10" s="20">
        <f>+SUM(D5:D9)</f>
        <v>194751</v>
      </c>
      <c r="E10" s="20">
        <f>+SUM(E5:E9)</f>
        <v>226415</v>
      </c>
      <c r="F10" s="20">
        <f>+SUM(F5:F9)</f>
        <v>146036</v>
      </c>
      <c r="G10" s="20">
        <f>+SUM(G5:G9)</f>
        <v>745715</v>
      </c>
      <c r="H10" s="8"/>
    </row>
    <row r="11" spans="1:13" ht="15.75" thickBot="1" x14ac:dyDescent="0.3">
      <c r="A11" s="14"/>
      <c r="B11" s="6"/>
      <c r="C11" s="20"/>
      <c r="D11" s="20"/>
      <c r="E11" s="20"/>
      <c r="F11" s="20"/>
      <c r="G11" s="20"/>
    </row>
    <row r="12" spans="1:13" ht="15.75" thickBot="1" x14ac:dyDescent="0.3">
      <c r="A12" s="14"/>
      <c r="B12" s="13" t="s">
        <v>15</v>
      </c>
      <c r="C12" s="23"/>
      <c r="D12" s="23"/>
      <c r="E12" s="23"/>
      <c r="F12" s="23"/>
      <c r="G12" s="23"/>
    </row>
    <row r="13" spans="1:13" ht="15.75" thickBot="1" x14ac:dyDescent="0.3">
      <c r="A13" s="14"/>
      <c r="B13" s="6" t="s">
        <v>16</v>
      </c>
      <c r="C13" s="20">
        <v>160000</v>
      </c>
      <c r="D13" s="20"/>
      <c r="E13" s="20"/>
      <c r="F13" s="20"/>
      <c r="G13" s="21">
        <f>+C13+D13</f>
        <v>160000</v>
      </c>
      <c r="H13" t="s">
        <v>39</v>
      </c>
      <c r="I13" t="s">
        <v>46</v>
      </c>
      <c r="J13" t="s">
        <v>41</v>
      </c>
      <c r="K13" t="s">
        <v>47</v>
      </c>
      <c r="L13" t="s">
        <v>40</v>
      </c>
      <c r="M13" t="s">
        <v>44</v>
      </c>
    </row>
    <row r="14" spans="1:13" ht="15.75" thickBot="1" x14ac:dyDescent="0.3">
      <c r="A14" s="14"/>
      <c r="B14" s="6" t="s">
        <v>17</v>
      </c>
      <c r="C14" s="20">
        <v>42000</v>
      </c>
      <c r="D14" s="20">
        <v>36000</v>
      </c>
      <c r="E14" s="20">
        <v>36000</v>
      </c>
      <c r="F14" s="20">
        <v>36000</v>
      </c>
      <c r="G14" s="20">
        <f>+SUM(C14:F14)</f>
        <v>150000</v>
      </c>
      <c r="H14" s="3" t="s">
        <v>34</v>
      </c>
    </row>
    <row r="15" spans="1:13" ht="15.75" thickBot="1" x14ac:dyDescent="0.3">
      <c r="A15" s="14"/>
      <c r="B15" s="6" t="s">
        <v>18</v>
      </c>
      <c r="C15" s="20">
        <f>1*J15+J16+J17</f>
        <v>2500</v>
      </c>
      <c r="D15" s="20">
        <f>2*J15+1*J16+2*J17</f>
        <v>3750</v>
      </c>
      <c r="E15" s="20">
        <f>2*J16+2*J15+3*J17</f>
        <v>5500</v>
      </c>
      <c r="F15" s="20">
        <f>3*J16+2*J15+3*J17</f>
        <v>6750</v>
      </c>
      <c r="G15" s="20">
        <f>+SUM(C15:F15)</f>
        <v>18500</v>
      </c>
      <c r="J15">
        <v>750</v>
      </c>
      <c r="K15" t="s">
        <v>36</v>
      </c>
    </row>
    <row r="16" spans="1:13" ht="15.75" thickBot="1" x14ac:dyDescent="0.3">
      <c r="A16" s="14"/>
      <c r="B16" s="6" t="s">
        <v>19</v>
      </c>
      <c r="C16" s="20">
        <v>1000</v>
      </c>
      <c r="D16" s="20">
        <v>3000</v>
      </c>
      <c r="E16" s="20">
        <v>3000</v>
      </c>
      <c r="F16" s="20">
        <v>3000</v>
      </c>
      <c r="G16" s="20">
        <f>+SUM(C16:F16)</f>
        <v>10000</v>
      </c>
      <c r="H16" t="s">
        <v>45</v>
      </c>
      <c r="J16">
        <v>1250</v>
      </c>
      <c r="K16" s="8" t="s">
        <v>37</v>
      </c>
    </row>
    <row r="17" spans="1:11" ht="15.75" thickBot="1" x14ac:dyDescent="0.3">
      <c r="A17" s="14"/>
      <c r="B17" s="6" t="s">
        <v>20</v>
      </c>
      <c r="C17" s="20"/>
      <c r="D17" s="20">
        <v>2500</v>
      </c>
      <c r="E17" s="20">
        <v>2500</v>
      </c>
      <c r="F17" s="20">
        <v>5000</v>
      </c>
      <c r="G17" s="20">
        <f>+SUM(C17:F17)</f>
        <v>10000</v>
      </c>
      <c r="H17" t="s">
        <v>35</v>
      </c>
      <c r="J17">
        <v>500</v>
      </c>
      <c r="K17" t="s">
        <v>38</v>
      </c>
    </row>
    <row r="18" spans="1:11" ht="15.75" thickBot="1" x14ac:dyDescent="0.3">
      <c r="A18" s="14"/>
      <c r="B18" s="6" t="s">
        <v>21</v>
      </c>
      <c r="C18" s="20">
        <f>+SUM(C13:C17)</f>
        <v>205500</v>
      </c>
      <c r="D18" s="20">
        <f>+SUM(D13:D17)</f>
        <v>45250</v>
      </c>
      <c r="E18" s="20">
        <f>+SUM(E13:E17)</f>
        <v>47000</v>
      </c>
      <c r="F18" s="20">
        <f>+SUM(F13:F17)</f>
        <v>50750</v>
      </c>
      <c r="G18" s="20">
        <f>+SUM(G13:G17)</f>
        <v>348500</v>
      </c>
      <c r="H18" s="8"/>
    </row>
    <row r="19" spans="1:11" ht="15.75" thickBot="1" x14ac:dyDescent="0.3">
      <c r="A19" s="14"/>
      <c r="B19" s="6"/>
      <c r="C19" s="20"/>
      <c r="D19" s="20"/>
      <c r="E19" s="20"/>
      <c r="F19" s="20"/>
      <c r="G19" s="20"/>
    </row>
    <row r="20" spans="1:11" ht="15.75" thickBot="1" x14ac:dyDescent="0.3">
      <c r="A20" s="16"/>
      <c r="B20" s="6" t="s">
        <v>22</v>
      </c>
      <c r="C20" s="24">
        <f>+C18+C10</f>
        <v>384013</v>
      </c>
      <c r="D20" s="24">
        <f t="shared" ref="D20:F20" si="0">+D18+D10</f>
        <v>240001</v>
      </c>
      <c r="E20" s="24">
        <f t="shared" si="0"/>
        <v>273415</v>
      </c>
      <c r="F20" s="24">
        <f t="shared" si="0"/>
        <v>196786</v>
      </c>
      <c r="G20" s="24">
        <f>+G18+G10</f>
        <v>1094215</v>
      </c>
    </row>
    <row r="21" spans="1:11" ht="57.75" thickBot="1" x14ac:dyDescent="0.3">
      <c r="A21" s="17" t="s">
        <v>23</v>
      </c>
      <c r="B21" s="6" t="s">
        <v>24</v>
      </c>
      <c r="C21" s="20">
        <f>+C20*0.2</f>
        <v>76802.600000000006</v>
      </c>
      <c r="D21" s="20">
        <f t="shared" ref="D21:F21" si="1">+D20*0.2</f>
        <v>48000.200000000004</v>
      </c>
      <c r="E21" s="20">
        <f t="shared" si="1"/>
        <v>54683</v>
      </c>
      <c r="F21" s="20">
        <f t="shared" si="1"/>
        <v>39357.200000000004</v>
      </c>
      <c r="G21" s="20">
        <f>+G20*0.2</f>
        <v>218843</v>
      </c>
      <c r="H21" s="8"/>
      <c r="I21">
        <f>160000/7</f>
        <v>22857.142857142859</v>
      </c>
    </row>
    <row r="22" spans="1:11" ht="43.5" thickBot="1" x14ac:dyDescent="0.3">
      <c r="A22" s="17" t="s">
        <v>25</v>
      </c>
      <c r="B22" s="6" t="s">
        <v>26</v>
      </c>
      <c r="C22" s="20">
        <v>0</v>
      </c>
      <c r="D22" s="20">
        <v>0</v>
      </c>
      <c r="E22" s="20">
        <v>50000</v>
      </c>
      <c r="F22" s="20">
        <v>50000</v>
      </c>
      <c r="G22" s="20">
        <f>+E22+F22</f>
        <v>100000</v>
      </c>
      <c r="I22">
        <f>+I21*5</f>
        <v>114285.71428571429</v>
      </c>
      <c r="J22" s="19">
        <f>+G13-I22</f>
        <v>45714.28571428571</v>
      </c>
    </row>
    <row r="23" spans="1:11" ht="43.5" thickBot="1" x14ac:dyDescent="0.3">
      <c r="A23" s="17" t="s">
        <v>27</v>
      </c>
      <c r="B23" s="6" t="s">
        <v>28</v>
      </c>
      <c r="C23" s="20"/>
      <c r="D23" s="20"/>
      <c r="E23" s="20"/>
      <c r="F23" s="20"/>
      <c r="G23" s="25">
        <f>+G21+G20+G22</f>
        <v>1413058</v>
      </c>
    </row>
    <row r="24" spans="1:11" ht="30.75" thickBot="1" x14ac:dyDescent="0.3">
      <c r="A24" s="18" t="s">
        <v>29</v>
      </c>
      <c r="B24" s="6" t="s">
        <v>28</v>
      </c>
      <c r="C24" s="6"/>
      <c r="D24" s="6"/>
      <c r="E24" s="6"/>
      <c r="F24" s="6"/>
      <c r="G24" s="5">
        <f>+G23-J22</f>
        <v>1367343.7142857143</v>
      </c>
    </row>
    <row r="27" spans="1:11" x14ac:dyDescent="0.25">
      <c r="A27" s="1"/>
    </row>
    <row r="28" spans="1:11" x14ac:dyDescent="0.25">
      <c r="A28" s="1"/>
    </row>
  </sheetData>
  <mergeCells count="7">
    <mergeCell ref="E1:E2"/>
    <mergeCell ref="F1:F2"/>
    <mergeCell ref="A4:A20"/>
    <mergeCell ref="A1:A2"/>
    <mergeCell ref="B1:B2"/>
    <mergeCell ref="C1:C2"/>
    <mergeCell ref="D1:D2"/>
  </mergeCells>
  <hyperlinks>
    <hyperlink ref="B5" location="_ftn1" display="_ftn1"/>
    <hyperlink ref="A24" location="_ftn2" display="_ftn2"/>
  </hyperlink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Hoja2</vt:lpstr>
      <vt:lpstr>Hoja3</vt:lpstr>
      <vt:lpstr>Hoja1!_ftn1</vt:lpstr>
      <vt:lpstr>Hoja1!_ftn2</vt:lpstr>
      <vt:lpstr>Hoja1!_ftnref1</vt:lpstr>
      <vt:lpstr>Hoja1!_ftnref2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y Juanjo Diaz-Sanchez</dc:creator>
  <cp:lastModifiedBy>Rosario y Juanjo Diaz-Sanchez</cp:lastModifiedBy>
  <cp:lastPrinted>2013-02-16T17:24:18Z</cp:lastPrinted>
  <dcterms:created xsi:type="dcterms:W3CDTF">2013-02-15T21:19:10Z</dcterms:created>
  <dcterms:modified xsi:type="dcterms:W3CDTF">2013-02-21T16:42:19Z</dcterms:modified>
</cp:coreProperties>
</file>